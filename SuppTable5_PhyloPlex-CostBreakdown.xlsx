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29/Papers/AmpliSeq_Treponema_paper_2024/Github/TP-Phylo-Plex_paper_2025/"/>
    </mc:Choice>
  </mc:AlternateContent>
  <xr:revisionPtr revIDLastSave="0" documentId="8_{794F6E85-4866-3643-81F5-1BFCB95CC110}" xr6:coauthVersionLast="47" xr6:coauthVersionMax="47" xr10:uidLastSave="{00000000-0000-0000-0000-000000000000}"/>
  <bookViews>
    <workbookView xWindow="1180" yWindow="1500" windowWidth="27240" windowHeight="15580" xr2:uid="{F2671BB7-C80F-C04D-A029-F3AA14541BA7}"/>
  </bookViews>
  <sheets>
    <sheet name="Full_Cost_Breakdow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 s="1"/>
  <c r="C17" i="1"/>
  <c r="D17" i="1" s="1"/>
  <c r="C16" i="1"/>
  <c r="I16" i="1" s="1"/>
  <c r="H15" i="1"/>
  <c r="D15" i="1"/>
  <c r="C15" i="1"/>
  <c r="H14" i="1"/>
  <c r="D14" i="1"/>
  <c r="C14" i="1"/>
  <c r="C19" i="1" s="1"/>
  <c r="C20" i="1" s="1"/>
  <c r="B8" i="1"/>
  <c r="B9" i="1" s="1"/>
  <c r="C6" i="1"/>
  <c r="D6" i="1" s="1"/>
  <c r="C5" i="1"/>
  <c r="J5" i="1" s="1"/>
  <c r="H4" i="1"/>
  <c r="D4" i="1"/>
  <c r="C4" i="1"/>
  <c r="H3" i="1"/>
  <c r="D3" i="1"/>
  <c r="C3" i="1"/>
  <c r="J16" i="1" l="1"/>
  <c r="K16" i="1"/>
  <c r="D5" i="1"/>
  <c r="D8" i="1" s="1"/>
  <c r="D9" i="1" s="1"/>
  <c r="D16" i="1"/>
  <c r="D19" i="1" s="1"/>
  <c r="D20" i="1" s="1"/>
  <c r="K5" i="1"/>
  <c r="C8" i="1"/>
  <c r="C9" i="1" s="1"/>
  <c r="G16" i="1"/>
  <c r="I5" i="1"/>
  <c r="H16" i="1"/>
  <c r="H19" i="1" s="1"/>
  <c r="H20" i="1" s="1"/>
  <c r="G5" i="1"/>
  <c r="H5" i="1"/>
  <c r="H8" i="1" s="1"/>
  <c r="H9" i="1" s="1"/>
  <c r="F9" i="1"/>
  <c r="F8" i="1"/>
  <c r="F3" i="1"/>
  <c r="G14" i="1"/>
  <c r="G19" i="1"/>
  <c r="G20" i="1"/>
  <c r="F16" i="1"/>
  <c r="E16" i="1"/>
  <c r="E9" i="1"/>
  <c r="E8" i="1"/>
  <c r="K14" i="1"/>
  <c r="K19" i="1"/>
  <c r="K20" i="1"/>
  <c r="J3" i="1"/>
  <c r="J8" i="1"/>
  <c r="J9" i="1"/>
  <c r="F15" i="1"/>
  <c r="E15" i="1"/>
  <c r="G15" i="1"/>
  <c r="F20" i="1"/>
  <c r="F19" i="1"/>
  <c r="F14" i="1"/>
  <c r="K15" i="1"/>
  <c r="I15" i="1"/>
  <c r="J15" i="1"/>
  <c r="I9" i="1"/>
  <c r="I8" i="1"/>
  <c r="K9" i="1"/>
  <c r="K8" i="1"/>
  <c r="I3" i="1"/>
  <c r="K3" i="1"/>
  <c r="F5" i="1"/>
  <c r="E5" i="1"/>
  <c r="E20" i="1"/>
  <c r="E14" i="1"/>
  <c r="E19" i="1"/>
  <c r="G9" i="1"/>
  <c r="G8" i="1"/>
  <c r="E3" i="1"/>
  <c r="G3" i="1"/>
  <c r="I20" i="1"/>
  <c r="I19" i="1"/>
  <c r="J20" i="1"/>
  <c r="J19" i="1"/>
  <c r="I14" i="1"/>
  <c r="J14" i="1"/>
  <c r="K4" i="1"/>
  <c r="I4" i="1"/>
  <c r="J4" i="1"/>
  <c r="G4" i="1"/>
  <c r="E4" i="1"/>
  <c r="F4" i="1"/>
</calcChain>
</file>

<file path=xl/sharedStrings.xml><?xml version="1.0" encoding="utf-8"?>
<sst xmlns="http://schemas.openxmlformats.org/spreadsheetml/2006/main" count="40" uniqueCount="17">
  <si>
    <t>Stage</t>
  </si>
  <si>
    <t>Original PhyloPlex (single PCR, 24-plex)</t>
  </si>
  <si>
    <t>4-gene_MLST (4 PCR rxns)</t>
  </si>
  <si>
    <t>4-gene_MLST (multiplex PCR)</t>
  </si>
  <si>
    <t>per 24</t>
  </si>
  <si>
    <t>per sample</t>
  </si>
  <si>
    <t>per 48</t>
  </si>
  <si>
    <t>per 96</t>
  </si>
  <si>
    <t>per 192</t>
  </si>
  <si>
    <t>PCR (varies by PCR rxn and sample count)</t>
  </si>
  <si>
    <t>PCR Primers (varies by PCR rxn and sample count)</t>
  </si>
  <si>
    <t>Library (varies by sample count)</t>
  </si>
  <si>
    <t>Sequencing (fixed)</t>
  </si>
  <si>
    <t>Total (excluding plasticware)</t>
  </si>
  <si>
    <t>Cost per sample</t>
  </si>
  <si>
    <t>7-gene_MLST (7 PCR rxns)</t>
  </si>
  <si>
    <t>7-gene_MLST (multiplex PCR)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</si>
</sst>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_);[Red]\(&quot;£&quot;#,##0.00\)"/>
  </numFmts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"/>
    </font>
    <font>
      <b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000000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8" fontId="2" fillId="0" borderId="5" xfId="0" applyNumberFormat="1" applyFont="1" applyBorder="1" applyAlignment="1">
      <alignment horizontal="center"/>
    </xf>
    <xf numFmtId="8" fontId="2" fillId="0" borderId="6" xfId="0" applyNumberFormat="1" applyFont="1" applyBorder="1" applyAlignment="1">
      <alignment horizontal="center"/>
    </xf>
    <xf numFmtId="8" fontId="2" fillId="0" borderId="0" xfId="0" applyNumberFormat="1" applyFont="1" applyAlignment="1">
      <alignment horizontal="center"/>
    </xf>
    <xf numFmtId="8" fontId="2" fillId="2" borderId="5" xfId="0" applyNumberFormat="1" applyFont="1" applyFill="1" applyBorder="1" applyAlignment="1">
      <alignment horizontal="center"/>
    </xf>
    <xf numFmtId="8" fontId="2" fillId="2" borderId="6" xfId="0" applyNumberFormat="1" applyFont="1" applyFill="1" applyBorder="1" applyAlignment="1">
      <alignment horizontal="center"/>
    </xf>
    <xf numFmtId="8" fontId="2" fillId="2" borderId="0" xfId="0" applyNumberFormat="1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8" fontId="0" fillId="2" borderId="5" xfId="0" applyNumberFormat="1" applyFill="1" applyBorder="1" applyAlignment="1">
      <alignment horizontal="center"/>
    </xf>
    <xf numFmtId="8" fontId="0" fillId="2" borderId="6" xfId="0" applyNumberFormat="1" applyFill="1" applyBorder="1" applyAlignment="1">
      <alignment horizontal="center"/>
    </xf>
    <xf numFmtId="8" fontId="0" fillId="2" borderId="0" xfId="0" applyNumberFormat="1" applyFill="1" applyAlignment="1">
      <alignment horizontal="center"/>
    </xf>
    <xf numFmtId="0" fontId="2" fillId="0" borderId="7" xfId="0" applyFont="1" applyBorder="1" applyAlignment="1">
      <alignment horizontal="center"/>
    </xf>
    <xf numFmtId="8" fontId="4" fillId="0" borderId="8" xfId="0" applyNumberFormat="1" applyFont="1" applyBorder="1" applyAlignment="1">
      <alignment horizontal="center"/>
    </xf>
    <xf numFmtId="8" fontId="4" fillId="0" borderId="9" xfId="0" applyNumberFormat="1" applyFont="1" applyBorder="1" applyAlignment="1">
      <alignment horizontal="center"/>
    </xf>
    <xf numFmtId="8" fontId="4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35DE-88E9-7C49-904F-0CB8414DF659}">
  <dimension ref="A1:K20"/>
  <sheetViews>
    <sheetView tabSelected="1" workbookViewId="0">
      <selection activeCell="A25" sqref="A25"/>
    </sheetView>
  </sheetViews>
  <sheetFormatPr baseColWidth="10" defaultRowHeight="16" x14ac:dyDescent="0.2"/>
  <cols>
    <col min="1" max="1" width="41.83203125" bestFit="1" customWidth="1"/>
    <col min="2" max="2" width="19.83203125" customWidth="1"/>
    <col min="3" max="3" width="20" customWidth="1"/>
  </cols>
  <sheetData>
    <row r="1" spans="1:11" x14ac:dyDescent="0.2">
      <c r="A1" s="1" t="s">
        <v>0</v>
      </c>
      <c r="B1" s="2" t="s">
        <v>1</v>
      </c>
      <c r="C1" s="3"/>
      <c r="D1" s="2" t="s">
        <v>2</v>
      </c>
      <c r="E1" s="4"/>
      <c r="F1" s="4"/>
      <c r="G1" s="3"/>
      <c r="H1" s="2" t="s">
        <v>3</v>
      </c>
      <c r="I1" s="4"/>
      <c r="J1" s="4"/>
      <c r="K1" s="4"/>
    </row>
    <row r="2" spans="1:11" ht="17" x14ac:dyDescent="0.2">
      <c r="A2" s="5"/>
      <c r="B2" s="6" t="s">
        <v>4</v>
      </c>
      <c r="C2" s="7" t="s">
        <v>5</v>
      </c>
      <c r="D2" s="6" t="s">
        <v>4</v>
      </c>
      <c r="E2" s="8" t="s">
        <v>6</v>
      </c>
      <c r="F2" s="8" t="s">
        <v>7</v>
      </c>
      <c r="G2" s="7" t="s">
        <v>8</v>
      </c>
      <c r="H2" s="6" t="s">
        <v>4</v>
      </c>
      <c r="I2" s="8" t="s">
        <v>6</v>
      </c>
      <c r="J2" s="8" t="s">
        <v>7</v>
      </c>
      <c r="K2" s="8" t="s">
        <v>8</v>
      </c>
    </row>
    <row r="3" spans="1:11" x14ac:dyDescent="0.2">
      <c r="A3" s="9" t="s">
        <v>9</v>
      </c>
      <c r="B3" s="10">
        <v>13.32</v>
      </c>
      <c r="C3" s="11">
        <f>B3/24</f>
        <v>0.55500000000000005</v>
      </c>
      <c r="D3" s="10">
        <f>$C3*4</f>
        <v>2.2200000000000002</v>
      </c>
      <c r="E3" s="12">
        <f ca="1">($E3/24)*48</f>
        <v>106.56</v>
      </c>
      <c r="F3" s="12">
        <f ca="1">($E3/24)*96</f>
        <v>213.12</v>
      </c>
      <c r="G3" s="11">
        <f ca="1">($E3/24)*192</f>
        <v>426.24</v>
      </c>
      <c r="H3" s="10">
        <f>$C3*1</f>
        <v>0.55500000000000005</v>
      </c>
      <c r="I3" s="12">
        <f ca="1">($I3/24)*48</f>
        <v>26.64</v>
      </c>
      <c r="J3" s="12">
        <f ca="1">($I3/24)*96</f>
        <v>53.28</v>
      </c>
      <c r="K3" s="12">
        <f ca="1">($I3/24)*192</f>
        <v>106.56</v>
      </c>
    </row>
    <row r="4" spans="1:11" x14ac:dyDescent="0.2">
      <c r="A4" s="5" t="s">
        <v>10</v>
      </c>
      <c r="B4" s="13">
        <v>4.32</v>
      </c>
      <c r="C4" s="14">
        <f t="shared" ref="C4:C6" si="0">B4/24</f>
        <v>0.18000000000000002</v>
      </c>
      <c r="D4" s="13">
        <f>(B4/59)*4</f>
        <v>0.29288135593220344</v>
      </c>
      <c r="E4" s="15">
        <f ca="1">($E4/24)*48</f>
        <v>0.58576271186440687</v>
      </c>
      <c r="F4" s="15">
        <f ca="1">($E4/24)*96</f>
        <v>1.1715254237288137</v>
      </c>
      <c r="G4" s="14">
        <f ca="1">($E4/24)*192</f>
        <v>2.3430508474576275</v>
      </c>
      <c r="H4" s="13">
        <f>(B4/59)*4</f>
        <v>0.29288135593220344</v>
      </c>
      <c r="I4" s="15">
        <f ca="1">($I4/24)*48</f>
        <v>0.58576271186440687</v>
      </c>
      <c r="J4" s="15">
        <f ca="1">($I4/24)*96</f>
        <v>1.1715254237288137</v>
      </c>
      <c r="K4" s="15">
        <f ca="1">($I4/24)*192</f>
        <v>2.3430508474576275</v>
      </c>
    </row>
    <row r="5" spans="1:11" x14ac:dyDescent="0.2">
      <c r="A5" s="9" t="s">
        <v>11</v>
      </c>
      <c r="B5" s="10">
        <v>209.56</v>
      </c>
      <c r="C5" s="11">
        <f t="shared" si="0"/>
        <v>8.7316666666666674</v>
      </c>
      <c r="D5" s="10">
        <f>$C5</f>
        <v>8.7316666666666674</v>
      </c>
      <c r="E5" s="12">
        <f ca="1">($E5/24)*48</f>
        <v>419.12</v>
      </c>
      <c r="F5" s="12">
        <f ca="1">($E5/24)*96</f>
        <v>838.24</v>
      </c>
      <c r="G5" s="11">
        <f>($C5/24)*192</f>
        <v>69.853333333333339</v>
      </c>
      <c r="H5" s="10">
        <f>$C5</f>
        <v>8.7316666666666674</v>
      </c>
      <c r="I5" s="12">
        <f>($C5/24)*48</f>
        <v>17.463333333333335</v>
      </c>
      <c r="J5" s="12">
        <f>($C5/24)*96</f>
        <v>34.926666666666669</v>
      </c>
      <c r="K5" s="12">
        <f>($C5/24)*192</f>
        <v>69.853333333333339</v>
      </c>
    </row>
    <row r="6" spans="1:11" x14ac:dyDescent="0.2">
      <c r="A6" s="5" t="s">
        <v>12</v>
      </c>
      <c r="B6" s="13">
        <v>64.319999999999993</v>
      </c>
      <c r="C6" s="14">
        <f t="shared" si="0"/>
        <v>2.6799999999999997</v>
      </c>
      <c r="D6" s="13">
        <f>$C6</f>
        <v>2.6799999999999997</v>
      </c>
      <c r="E6" s="15">
        <v>64.319999999999993</v>
      </c>
      <c r="F6" s="15">
        <v>64.319999999999993</v>
      </c>
      <c r="G6" s="14">
        <v>64.319999999999993</v>
      </c>
      <c r="H6" s="13">
        <v>64.319999999999993</v>
      </c>
      <c r="I6" s="15">
        <v>64.319999999999993</v>
      </c>
      <c r="J6" s="15">
        <v>64.319999999999993</v>
      </c>
      <c r="K6" s="15">
        <v>64.319999999999993</v>
      </c>
    </row>
    <row r="7" spans="1:11" x14ac:dyDescent="0.2">
      <c r="A7" s="9"/>
      <c r="B7" s="16"/>
      <c r="C7" s="17"/>
      <c r="D7" s="16"/>
      <c r="E7" s="9"/>
      <c r="F7" s="9"/>
      <c r="G7" s="17"/>
      <c r="H7" s="16"/>
      <c r="I7" s="9"/>
      <c r="J7" s="9"/>
      <c r="K7" s="9"/>
    </row>
    <row r="8" spans="1:11" x14ac:dyDescent="0.2">
      <c r="A8" s="5" t="s">
        <v>13</v>
      </c>
      <c r="B8" s="18">
        <f t="shared" ref="B8:K8" si="1">SUM(B3:B6)</f>
        <v>291.52</v>
      </c>
      <c r="C8" s="19">
        <f t="shared" si="1"/>
        <v>12.146666666666667</v>
      </c>
      <c r="D8" s="18">
        <f t="shared" si="1"/>
        <v>13.92454802259887</v>
      </c>
      <c r="E8" s="20">
        <f t="shared" ca="1" si="1"/>
        <v>590.58576271186439</v>
      </c>
      <c r="F8" s="20">
        <f t="shared" ca="1" si="1"/>
        <v>1116.8515254237288</v>
      </c>
      <c r="G8" s="19">
        <f t="shared" ca="1" si="1"/>
        <v>2169.383050847458</v>
      </c>
      <c r="H8" s="18">
        <f t="shared" si="1"/>
        <v>73.899548022598864</v>
      </c>
      <c r="I8" s="20">
        <f t="shared" ca="1" si="1"/>
        <v>510.66576271186443</v>
      </c>
      <c r="J8" s="20">
        <f t="shared" ca="1" si="1"/>
        <v>957.01152542372893</v>
      </c>
      <c r="K8" s="20">
        <f t="shared" ca="1" si="1"/>
        <v>1849.7030508474577</v>
      </c>
    </row>
    <row r="9" spans="1:11" x14ac:dyDescent="0.2">
      <c r="A9" s="21" t="s">
        <v>14</v>
      </c>
      <c r="B9" s="22">
        <f>B8/24</f>
        <v>12.146666666666667</v>
      </c>
      <c r="C9" s="23">
        <f>C8/1</f>
        <v>12.146666666666667</v>
      </c>
      <c r="D9" s="22">
        <f>D8/24</f>
        <v>0.58018950094161958</v>
      </c>
      <c r="E9" s="24">
        <f ca="1">E8/48</f>
        <v>12.303870056497175</v>
      </c>
      <c r="F9" s="24">
        <f ca="1">F8/96</f>
        <v>11.633870056497175</v>
      </c>
      <c r="G9" s="23">
        <f ca="1">G8/192</f>
        <v>11.298870056497178</v>
      </c>
      <c r="H9" s="22">
        <f>H8/24</f>
        <v>3.0791478342749525</v>
      </c>
      <c r="I9" s="24">
        <f ca="1">I8/48</f>
        <v>10.638870056497176</v>
      </c>
      <c r="J9" s="24">
        <f ca="1">J8/96</f>
        <v>9.9688700564971757</v>
      </c>
      <c r="K9" s="24">
        <f ca="1">K8/192</f>
        <v>9.6338700564971749</v>
      </c>
    </row>
    <row r="10" spans="1:11" x14ac:dyDescent="0.2">
      <c r="A10" s="25"/>
    </row>
    <row r="11" spans="1:11" x14ac:dyDescent="0.2">
      <c r="A11" s="25"/>
    </row>
    <row r="12" spans="1:11" x14ac:dyDescent="0.2">
      <c r="A12" s="1" t="s">
        <v>0</v>
      </c>
      <c r="B12" s="2" t="s">
        <v>1</v>
      </c>
      <c r="C12" s="3"/>
      <c r="D12" s="2" t="s">
        <v>15</v>
      </c>
      <c r="E12" s="4"/>
      <c r="F12" s="4"/>
      <c r="G12" s="3"/>
      <c r="H12" s="2" t="s">
        <v>16</v>
      </c>
      <c r="I12" s="4"/>
      <c r="J12" s="4"/>
      <c r="K12" s="4"/>
    </row>
    <row r="13" spans="1:11" ht="17" x14ac:dyDescent="0.2">
      <c r="A13" s="5"/>
      <c r="B13" s="6" t="s">
        <v>4</v>
      </c>
      <c r="C13" s="7" t="s">
        <v>5</v>
      </c>
      <c r="D13" s="6" t="s">
        <v>4</v>
      </c>
      <c r="E13" s="8" t="s">
        <v>6</v>
      </c>
      <c r="F13" s="8" t="s">
        <v>7</v>
      </c>
      <c r="G13" s="7" t="s">
        <v>8</v>
      </c>
      <c r="H13" s="6" t="s">
        <v>4</v>
      </c>
      <c r="I13" s="8" t="s">
        <v>6</v>
      </c>
      <c r="J13" s="8" t="s">
        <v>7</v>
      </c>
      <c r="K13" s="8" t="s">
        <v>8</v>
      </c>
    </row>
    <row r="14" spans="1:11" x14ac:dyDescent="0.2">
      <c r="A14" s="9" t="s">
        <v>9</v>
      </c>
      <c r="B14" s="10">
        <v>13.32</v>
      </c>
      <c r="C14" s="11">
        <f>B14/24</f>
        <v>0.55500000000000005</v>
      </c>
      <c r="D14" s="10">
        <f>$C14*7</f>
        <v>3.8850000000000002</v>
      </c>
      <c r="E14" s="12">
        <f ca="1">($E14/24)*48</f>
        <v>186.48000000000002</v>
      </c>
      <c r="F14" s="12">
        <f ca="1">($E14/24)*96</f>
        <v>372.96000000000004</v>
      </c>
      <c r="G14" s="11">
        <f ca="1">($E14/24)*192</f>
        <v>745.92000000000007</v>
      </c>
      <c r="H14" s="10">
        <f>$C14*1</f>
        <v>0.55500000000000005</v>
      </c>
      <c r="I14" s="12">
        <f ca="1">($I14/24)*48</f>
        <v>26.64</v>
      </c>
      <c r="J14" s="12">
        <f ca="1">($I14/24)*96</f>
        <v>53.28</v>
      </c>
      <c r="K14" s="12">
        <f ca="1">($I14/24)*192</f>
        <v>106.56</v>
      </c>
    </row>
    <row r="15" spans="1:11" x14ac:dyDescent="0.2">
      <c r="A15" s="5" t="s">
        <v>10</v>
      </c>
      <c r="B15" s="13">
        <v>4.32</v>
      </c>
      <c r="C15" s="14">
        <f t="shared" ref="C15:C17" si="2">B15/24</f>
        <v>0.18000000000000002</v>
      </c>
      <c r="D15" s="13">
        <f>B15/59*7</f>
        <v>0.51254237288135607</v>
      </c>
      <c r="E15" s="15">
        <f ca="1">($E15/24)*48</f>
        <v>1.0250847457627121</v>
      </c>
      <c r="F15" s="15">
        <f ca="1">($E15/24)*96</f>
        <v>2.0501694915254243</v>
      </c>
      <c r="G15" s="14">
        <f ca="1">($E15/24)*192</f>
        <v>4.1003389830508485</v>
      </c>
      <c r="H15" s="13">
        <f>B15/59*7</f>
        <v>0.51254237288135607</v>
      </c>
      <c r="I15" s="15">
        <f ca="1">($I15/24)*48</f>
        <v>1.0250847457627121</v>
      </c>
      <c r="J15" s="15">
        <f ca="1">($I15/24)*96</f>
        <v>2.0501694915254243</v>
      </c>
      <c r="K15" s="15">
        <f ca="1">($I15/24)*192</f>
        <v>4.1003389830508485</v>
      </c>
    </row>
    <row r="16" spans="1:11" x14ac:dyDescent="0.2">
      <c r="A16" s="9" t="s">
        <v>11</v>
      </c>
      <c r="B16" s="10">
        <v>209.56</v>
      </c>
      <c r="C16" s="11">
        <f t="shared" si="2"/>
        <v>8.7316666666666674</v>
      </c>
      <c r="D16" s="10">
        <f>$C16</f>
        <v>8.7316666666666674</v>
      </c>
      <c r="E16" s="12">
        <f ca="1">($E16/24)*48</f>
        <v>419.12</v>
      </c>
      <c r="F16" s="12">
        <f ca="1">($E16/24)*96</f>
        <v>838.24</v>
      </c>
      <c r="G16" s="11">
        <f>($C16/24)*192</f>
        <v>69.853333333333339</v>
      </c>
      <c r="H16" s="10">
        <f>$C16</f>
        <v>8.7316666666666674</v>
      </c>
      <c r="I16" s="12">
        <f>($C16/24)*48</f>
        <v>17.463333333333335</v>
      </c>
      <c r="J16" s="12">
        <f>($C16/24)*96</f>
        <v>34.926666666666669</v>
      </c>
      <c r="K16" s="12">
        <f>($C16/24)*192</f>
        <v>69.853333333333339</v>
      </c>
    </row>
    <row r="17" spans="1:11" x14ac:dyDescent="0.2">
      <c r="A17" s="5" t="s">
        <v>12</v>
      </c>
      <c r="B17" s="13">
        <v>64.319999999999993</v>
      </c>
      <c r="C17" s="14">
        <f t="shared" si="2"/>
        <v>2.6799999999999997</v>
      </c>
      <c r="D17" s="13">
        <f>$C17</f>
        <v>2.6799999999999997</v>
      </c>
      <c r="E17" s="15">
        <v>64.319999999999993</v>
      </c>
      <c r="F17" s="15">
        <v>64.319999999999993</v>
      </c>
      <c r="G17" s="14">
        <v>64.319999999999993</v>
      </c>
      <c r="H17" s="13">
        <v>64.319999999999993</v>
      </c>
      <c r="I17" s="15">
        <v>64.319999999999993</v>
      </c>
      <c r="J17" s="15">
        <v>64.319999999999993</v>
      </c>
      <c r="K17" s="15">
        <v>64.319999999999993</v>
      </c>
    </row>
    <row r="18" spans="1:11" x14ac:dyDescent="0.2">
      <c r="A18" s="9"/>
      <c r="B18" s="16"/>
      <c r="C18" s="17"/>
      <c r="D18" s="16"/>
      <c r="E18" s="9"/>
      <c r="F18" s="9"/>
      <c r="G18" s="17"/>
      <c r="H18" s="16"/>
      <c r="I18" s="9"/>
      <c r="J18" s="9"/>
      <c r="K18" s="9"/>
    </row>
    <row r="19" spans="1:11" x14ac:dyDescent="0.2">
      <c r="A19" s="5" t="s">
        <v>13</v>
      </c>
      <c r="B19" s="18">
        <f>SUM(B14:B17)</f>
        <v>291.52</v>
      </c>
      <c r="C19" s="19">
        <f t="shared" ref="C19" si="3">SUM(C14:C17)</f>
        <v>12.146666666666667</v>
      </c>
      <c r="D19" s="18">
        <f>SUM(D14:D17)</f>
        <v>15.809209039548023</v>
      </c>
      <c r="E19" s="20">
        <f t="shared" ref="E19:J19" ca="1" si="4">SUM(E14:E17)</f>
        <v>670.94508474576264</v>
      </c>
      <c r="F19" s="20">
        <f t="shared" ca="1" si="4"/>
        <v>1277.5701694915253</v>
      </c>
      <c r="G19" s="19">
        <f t="shared" ca="1" si="4"/>
        <v>2490.820338983051</v>
      </c>
      <c r="H19" s="18">
        <f t="shared" si="4"/>
        <v>74.119209039548011</v>
      </c>
      <c r="I19" s="20">
        <f t="shared" ca="1" si="4"/>
        <v>511.10508474576272</v>
      </c>
      <c r="J19" s="20">
        <f t="shared" ca="1" si="4"/>
        <v>957.89016949152551</v>
      </c>
      <c r="K19" s="20">
        <f ca="1">SUM(K14:K17)</f>
        <v>1851.4603389830509</v>
      </c>
    </row>
    <row r="20" spans="1:11" x14ac:dyDescent="0.2">
      <c r="A20" s="21" t="s">
        <v>14</v>
      </c>
      <c r="B20" s="22">
        <f>B19/24</f>
        <v>12.146666666666667</v>
      </c>
      <c r="C20" s="23">
        <f>C19/1</f>
        <v>12.146666666666667</v>
      </c>
      <c r="D20" s="22">
        <f>D19/24</f>
        <v>0.65871704331450098</v>
      </c>
      <c r="E20" s="24">
        <f ca="1">E19/48</f>
        <v>13.978022598870055</v>
      </c>
      <c r="F20" s="24">
        <f ca="1">F19/96</f>
        <v>13.308022598870055</v>
      </c>
      <c r="G20" s="23">
        <f ca="1">G19/192</f>
        <v>12.973022598870058</v>
      </c>
      <c r="H20" s="22">
        <f>H19/24</f>
        <v>3.0883003766478336</v>
      </c>
      <c r="I20" s="24">
        <f ca="1">I19/48</f>
        <v>10.648022598870057</v>
      </c>
      <c r="J20" s="24">
        <f ca="1">J19/96</f>
        <v>9.9780225988700568</v>
      </c>
      <c r="K20" s="24">
        <f ca="1">K19/192</f>
        <v>9.643022598870056</v>
      </c>
    </row>
  </sheetData>
  <mergeCells count="6">
    <mergeCell ref="B1:C1"/>
    <mergeCell ref="D1:G1"/>
    <mergeCell ref="H1:K1"/>
    <mergeCell ref="B12:C12"/>
    <mergeCell ref="D12:G12"/>
    <mergeCell ref="H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Full_Cost_Breakdown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Beale</dc:creator>
  <cp:lastModifiedBy>Mathew Beale</cp:lastModifiedBy>
  <dcterms:created xsi:type="dcterms:W3CDTF">2025-12-17T10:56:35Z</dcterms:created>
  <dcterms:modified xsi:type="dcterms:W3CDTF">2025-12-17T10:58:22Z</dcterms:modified>
</cp:coreProperties>
</file>